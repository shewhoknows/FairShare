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63caef48f841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8da1661fcb94ed3"/>
    <x:sheet xmlns:r="http://schemas.openxmlformats.org/officeDocument/2006/relationships" name="iOS User Stories" sheetId="2" r:id="Rd07f43b214a54508"/>
    <x:sheet xmlns:r="http://schemas.openxmlformats.org/officeDocument/2006/relationships" name="Errors &amp; Fixes" sheetId="3" r:id="R731fb5683b724b0e"/>
    <x:sheet xmlns:r="http://schemas.openxmlformats.org/officeDocument/2006/relationships" name="Test Evidence" sheetId="4" r:id="R9c02f759062d4bf2"/>
    <x:sheet xmlns:r="http://schemas.openxmlformats.org/officeDocument/2006/relationships" name="Deferred Web" sheetId="5" r:id="Ra72ae53d1cd442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8"/>
      <x:color rgb="FFFFFFFF"/>
      <x:name val="Carlito"/>
    </x:font>
    <x:font>
      <x:sz val="11"/>
      <x:color rgb="FF075985"/>
      <x:name val="Carlito"/>
    </x:font>
    <x:font>
      <x:b/>
      <x:sz val="10"/>
      <x:color rgb="FF0F766E"/>
      <x:name val="Carlito"/>
    </x:font>
    <x:font>
      <x:b/>
      <x:sz val="10"/>
      <x:color rgb="FF92400E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7F1D1D"/>
      </x:patternFill>
    </x:fill>
    <x:fill>
      <x:patternFill patternType="solid">
        <x:fgColor rgb="FF1D4ED8"/>
      </x:patternFill>
    </x:fill>
    <x:fill>
      <x:patternFill patternType="solid">
        <x:fgColor rgb="FF475569"/>
      </x:patternFill>
    </x:fill>
    <x:fill>
      <x:patternFill patternType="solid">
        <x:fgColor rgb="FF0F172A"/>
      </x:patternFill>
    </x:fill>
    <x:fill>
      <x:patternFill patternType="solid">
        <x:fgColor rgb="FFE0F2FE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334155"/>
      </x:patternFill>
    </x:fill>
  </x:fills>
  <x:borders count="5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8" borderId="4" xfId="0" applyNumberFormat="1" applyFont="1" applyFill="1" applyBorder="1"/>
    <x:xf numFmtId="0" fontId="0" fillId="8" borderId="4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0" fillId="9" borderId="4" xfId="0" applyNumberFormat="1" applyFont="1" applyFill="1" applyBorder="1"/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4B5563"/>
      </x:font>
      <x:fill>
        <x:patternFill patternType="solid">
          <x:bgColor rgb="FFF3F4F6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07c07c248a421b" /><Relationship Type="http://schemas.openxmlformats.org/officeDocument/2006/relationships/theme" Target="/xl/theme/theme1.xml" Id="R13d572b48dae49df" /><Relationship Type="http://schemas.openxmlformats.org/officeDocument/2006/relationships/sharedStrings" Target="/xl/sharedStrings.xml" Id="R01c916d96a4845d7" /><Relationship Type="http://schemas.openxmlformats.org/officeDocument/2006/relationships/worksheet" Target="/xl/worksheets/sheet1.xml" Id="Rb8da1661fcb94ed3" /><Relationship Type="http://schemas.openxmlformats.org/officeDocument/2006/relationships/worksheet" Target="/xl/worksheets/sheet2.xml" Id="Rd07f43b214a54508" /><Relationship Type="http://schemas.openxmlformats.org/officeDocument/2006/relationships/worksheet" Target="/xl/worksheets/sheet3.xml" Id="R731fb5683b724b0e" /><Relationship Type="http://schemas.openxmlformats.org/officeDocument/2006/relationships/worksheet" Target="/xl/worksheets/sheet4.xml" Id="R9c02f759062d4bf2" /><Relationship Type="http://schemas.openxmlformats.org/officeDocument/2006/relationships/worksheet" Target="/xl/worksheets/sheet5.xml" Id="Ra72ae53d1cd44215" /></Relationships>
</file>

<file path=xl/tables/table1.xml><?xml version="1.0" encoding="utf-8"?>
<x:table xmlns:x="http://schemas.openxmlformats.org/spreadsheetml/2006/main" id="1" name="iOSUserStoriesTable" displayName="iOSUserStoriesTable" ref="A1:M23" headerRowCount="1">
  <x:tableColumns count="13">
    <x:tableColumn id="1" name="ID"/>
    <x:tableColumn id="2" name="Surface"/>
    <x:tableColumn id="3" name="Area"/>
    <x:tableColumn id="4" name="User Story"/>
    <x:tableColumn id="5" name="Expected Behaviour"/>
    <x:tableColumn id="6" name="Code Evidence"/>
    <x:tableColumn id="7" name="Test Evidence"/>
    <x:tableColumn id="8" name="Priority"/>
    <x:tableColumn id="9" name="Feature Status"/>
    <x:tableColumn id="10" name="Test Status"/>
    <x:tableColumn id="11" name="Errors / Observations"/>
    <x:tableColumn id="12" name="Fix Status"/>
    <x:tableColumn id="13" name="Retest Status"/>
  </x:tableColumns>
  <x:tableStyleInfo name="TableStyleMedium2" showRowStripes="1"/>
</x:table>
</file>

<file path=xl/tables/table2.xml><?xml version="1.0" encoding="utf-8"?>
<x:table xmlns:x="http://schemas.openxmlformats.org/spreadsheetml/2006/main" id="2" name="ErrorsFixesTable" displayName="ErrorsFixesTable" ref="A1:I12" headerRowCount="1">
  <x:tableColumns count="9">
    <x:tableColumn id="1" name="Error ID"/>
    <x:tableColumn id="2" name="Surface"/>
    <x:tableColumn id="3" name="Finding"/>
    <x:tableColumn id="4" name="Resolution / Evidence"/>
    <x:tableColumn id="5" name="Linked Story"/>
    <x:tableColumn id="6" name="Discovery"/>
    <x:tableColumn id="7" name="Fix Status"/>
    <x:tableColumn id="8" name="Severity"/>
    <x:tableColumn id="9" name="Retest"/>
  </x:tableColumns>
  <x:tableStyleInfo name="TableStyleMedium2" showRowStripes="1"/>
</x:table>
</file>

<file path=xl/tables/table3.xml><?xml version="1.0" encoding="utf-8"?>
<x:table xmlns:x="http://schemas.openxmlformats.org/spreadsheetml/2006/main" id="3" name="TestEvidenceTable" displayName="TestEvidenceTable" ref="A1:E9" headerRowCount="1">
  <x:tableColumns count="5">
    <x:tableColumn id="1" name="Date"/>
    <x:tableColumn id="2" name="Layer"/>
    <x:tableColumn id="3" name="Command / Probe"/>
    <x:tableColumn id="4" name="Result"/>
    <x:tableColumn id="5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DeferredWebTable" displayName="DeferredWebTable" ref="A1:D3" headerRowCount="1">
  <x:tableColumns count="4">
    <x:tableColumn id="1" name="Surface"/>
    <x:tableColumn id="2" name="Feature"/>
    <x:tableColumn id="3" name="Status"/>
    <x:tableColumn id="4" name="Reas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a60fac2961741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600b25f76dd47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0b32f76227f4d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abd45f20f2642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51.11000061035156" hidden="0" customWidth="1"/>
    <x:col min="3" max="3" width="4" hidden="0" customWidth="1"/>
    <x:col min="4" max="4" width="22.780000686645508" hidden="0" customWidth="1"/>
    <x:col min="5" max="5" width="15" hidden="0" customWidth="1"/>
    <x:col min="6" max="6" width="14.4399995803833" hidden="0" customWidth="1"/>
    <x:col min="7" max="7" width="4" hidden="0" customWidth="1"/>
    <x:col min="8" max="8" width="4" hidden="0" customWidth="1"/>
  </x:cols>
  <x:sheetData>
    <x:row r="1" ht="25.5" customHeight="1">
      <x:c r="A1" s="21" t="str">
        <x:v>BillBandit iOS Ink Feature Status Tracker</x:v>
      </x:c>
    </x:row>
    <x:row r="2">
      <x:c r="A2" s="23" t="str">
        <x:v>Canonical workbook updated 2026-06-22. Scope is the blue/cream native iOS ink build; web interface findings are deferred.</x:v>
      </x:c>
    </x:row>
    <x:row r="4" ht="21" customHeight="1">
      <x:c r="A4" s="2" t="str">
        <x:v>Metric</x:v>
      </x:c>
      <x:c r="B4" s="2" t="str">
        <x:v>Value</x:v>
      </x:c>
      <x:c r="D4" s="15" t="str">
        <x:v>Status</x:v>
      </x:c>
      <x:c r="E4" s="15" t="str">
        <x:v>Story Count</x:v>
      </x:c>
      <x:c r="F4" s="15" t="str">
        <x:v>Finding Count</x:v>
      </x:c>
    </x:row>
    <x:row r="5" ht="25.5" customHeight="1">
      <x:c r="A5" s="26" t="str">
        <x:v>iOS user stories</x:v>
      </x:c>
      <x:c r="B5" s="26" t="n">
        <x:f>COUNTA('iOS User Stories'!A2:A23)</x:f>
        <x:v>22</x:v>
      </x:c>
      <x:c r="D5" s="28" t="str">
        <x:v>Tested pass</x:v>
      </x:c>
      <x:c r="E5" s="28" t="n">
        <x:f>COUNTIF('iOS User Stories'!J2:J23,D5)</x:f>
        <x:v>21</x:v>
      </x:c>
      <x:c r="F5" s="28" t="str"/>
    </x:row>
    <x:row r="6" ht="25.5" customHeight="1">
      <x:c r="A6" s="26" t="str">
        <x:v>Stories tested pass</x:v>
      </x:c>
      <x:c r="B6" s="26" t="n">
        <x:f>COUNTIF('iOS User Stories'!J2:J23,"Tested pass")</x:f>
        <x:v>21</x:v>
      </x:c>
      <x:c r="D6" s="28" t="str">
        <x:v>Needs focused test</x:v>
      </x:c>
      <x:c r="E6" s="28" t="n">
        <x:f>COUNTIF('iOS User Stories'!J2:J23,D6)</x:f>
        <x:v>0</x:v>
      </x:c>
      <x:c r="F6" s="28" t="str"/>
    </x:row>
    <x:row r="7" ht="25.5" customHeight="1">
      <x:c r="A7" s="26" t="str">
        <x:v>Stories pending focused tests</x:v>
      </x:c>
      <x:c r="B7" s="26" t="n">
        <x:f>COUNTIF('iOS User Stories'!J2:J23,"Needs focused test")+COUNTIF('iOS User Stories'!J2:J23,"Needs focused UI test")</x:f>
        <x:v>0</x:v>
      </x:c>
      <x:c r="D7" s="28" t="str">
        <x:v>Needs focused UI test</x:v>
      </x:c>
      <x:c r="E7" s="28" t="n">
        <x:f>COUNTIF('iOS User Stories'!J2:J23,D7)</x:f>
        <x:v>0</x:v>
      </x:c>
      <x:c r="F7" s="28" t="str"/>
    </x:row>
    <x:row r="8" ht="25.5" customHeight="1">
      <x:c r="A8" s="26" t="str">
        <x:v>Fixed iOS findings</x:v>
      </x:c>
      <x:c r="B8" s="26" t="n">
        <x:f>COUNTIF('Errors &amp; Fixes'!G2:G12,"Fixed")</x:f>
        <x:v>10</x:v>
      </x:c>
      <x:c r="D8" s="28" t="str">
        <x:v>Deferred by scope</x:v>
      </x:c>
      <x:c r="E8" s="28" t="n">
        <x:f>COUNTIF('iOS User Stories'!J2:J23,D8)</x:f>
        <x:v>1</x:v>
      </x:c>
      <x:c r="F8" s="28" t="str"/>
    </x:row>
    <x:row r="9" ht="25.5" customHeight="1">
      <x:c r="A9" s="26" t="str">
        <x:v>Pending iOS coverage findings</x:v>
      </x:c>
      <x:c r="B9" s="26" t="n">
        <x:f>COUNTIF('Errors &amp; Fixes'!I2:I12,"Pending")</x:f>
        <x:v>0</x:v>
      </x:c>
      <x:c r="D9" s="28" t="str">
        <x:v>Fixed</x:v>
      </x:c>
      <x:c r="E9" s="28" t="str"/>
      <x:c r="F9" s="28" t="n">
        <x:f>COUNTIF('Errors &amp; Fixes'!G2:G12,D9)</x:f>
        <x:v>10</x:v>
      </x:c>
    </x:row>
    <x:row r="10" ht="25.5" customHeight="1">
      <x:c r="A10" s="26" t="str">
        <x:v>Deferred web items</x:v>
      </x:c>
      <x:c r="B10" s="26" t="n">
        <x:f>COUNTA('Deferred Web'!A2:A3)</x:f>
        <x:v>2</x:v>
      </x:c>
      <x:c r="D10" s="28" t="str">
        <x:v>Pending</x:v>
      </x:c>
      <x:c r="E10" s="28" t="str"/>
      <x:c r="F10" s="28" t="n">
        <x:f>COUNTIF('Errors &amp; Fixes'!I2:I12,D10)</x:f>
        <x:v>0</x:v>
      </x:c>
    </x:row>
    <x:row r="11" ht="25.5" customHeight="1">
      <x:c r="A11" s="26" t="str">
        <x:v>Railway production URL</x:v>
      </x:c>
      <x:c r="B11" s="26" t="str">
        <x:v>https://billbandit-api.contenthelper.in</x:v>
      </x:c>
      <x:c r="D11" s="28" t="str">
        <x:v>Deferred</x:v>
      </x:c>
      <x:c r="E11" s="28" t="str"/>
      <x:c r="F11" s="28" t="n">
        <x:f>COUNTIF('Errors &amp; Fixes'!G2:G12,D11)</x:f>
        <x:v>1</x:v>
      </x:c>
    </x:row>
    <x:row r="12" ht="25.5" customHeight="1">
      <x:c r="A12" s="26" t="str">
        <x:v>Latest iOS regression status</x:v>
      </x:c>
      <x:c r="B12" s="26" t="str">
        <x:v>Passed</x:v>
      </x:c>
    </x:row>
    <x:row r="13" ht="21" customHeight="1"/>
    <x:row r="14" ht="21" customHeight="1">
      <x:c r="A14" s="30" t="str">
        <x:v>Current iOS Test Loop</x:v>
      </x:c>
    </x:row>
    <x:row r="15" ht="36" customHeight="1">
      <x:c r="A15" s="32" t="str">
        <x:v>1</x:v>
      </x:c>
      <x:c r="B15" s="31" t="str">
        <x:v>Created dedicated simulator BillBandit Ink QA - Codex and used only that simulator for final iOS evidence.</x:v>
      </x:c>
      <x:c r="C15" s="31" t="str"/>
      <x:c r="D15" s="31" t="str"/>
      <x:c r="E15" s="31" t="str"/>
      <x:c r="F15" s="31" t="str"/>
      <x:c r="G15" s="31" t="str"/>
      <x:c r="H15" s="31" t="str"/>
    </x:row>
    <x:row r="16" ht="36" customHeight="1">
      <x:c r="A16" s="32" t="str">
        <x:v>2</x:v>
      </x:c>
      <x:c r="B16" s="31" t="str">
        <x:v>Fixed remote add-member email contract, profile tab/logout UX, bottom-tab hit targets, final-bill launch state, and split-row keyboard/ScrollView tap handling.</x:v>
      </x:c>
      <x:c r="C16" s="31" t="str"/>
      <x:c r="D16" s="31" t="str"/>
      <x:c r="E16" s="31" t="str"/>
      <x:c r="F16" s="31" t="str"/>
      <x:c r="G16" s="31" t="str"/>
      <x:c r="H16" s="31" t="str"/>
    </x:row>
    <x:row r="17" ht="36" customHeight="1">
      <x:c r="A17" s="32" t="str">
        <x:v>3</x:v>
      </x:c>
      <x:c r="B17" s="31" t="str">
        <x:v>Expanded Railway UI coverage for OTP/profile/logout, ledger create/add/edit/delete/finalize, add-friend-by-email, two-person split, settlement row, and record payment.</x:v>
      </x:c>
      <x:c r="C17" s="31" t="str"/>
      <x:c r="D17" s="31" t="str"/>
      <x:c r="E17" s="31" t="str"/>
      <x:c r="F17" s="31" t="str"/>
      <x:c r="G17" s="31" t="str"/>
      <x:c r="H17" s="31" t="str"/>
    </x:row>
    <x:row r="18" ht="36" customHeight="1">
      <x:c r="A18" s="32" t="str">
        <x:v>4</x:v>
      </x:c>
      <x:c r="B18" s="31" t="str">
        <x:v>Normal iOS suite passed on the dedicated simulator: 13 passed, 0 failed, 3 Railway UI tests skipped by opt-in guard.</x:v>
      </x:c>
      <x:c r="C18" s="31" t="str"/>
      <x:c r="D18" s="31" t="str"/>
      <x:c r="E18" s="31" t="str"/>
      <x:c r="F18" s="31" t="str"/>
      <x:c r="G18" s="31" t="str"/>
      <x:c r="H18" s="31" t="str"/>
    </x:row>
    <x:row r="19" ht="36" customHeight="1">
      <x:c r="A19" s="32" t="str">
        <x:v>5</x:v>
      </x:c>
      <x:c r="B19" s="31" t="str">
        <x:v>Live Railway UI suite passed 3/3 against https://billbandit-api.contenthelper.in on the dedicated simulator.</x:v>
      </x:c>
      <x:c r="C19" s="31" t="str"/>
      <x:c r="D19" s="31" t="str"/>
      <x:c r="E19" s="31" t="str"/>
      <x:c r="F19" s="31" t="str"/>
      <x:c r="G19" s="31" t="str"/>
      <x:c r="H19" s="31" t="str"/>
    </x:row>
    <x:row r="20" ht="36" customHeight="1">
      <x:c r="A20" s="33" t="str">
        <x:v>Remaining</x:v>
      </x:c>
      <x:c r="B20" s="31" t="str">
        <x:v>Native tab UI is deferred because this pass is scoped to the blue/cream ink build.</x:v>
      </x:c>
      <x:c r="C20" s="31" t="str"/>
      <x:c r="D20" s="31" t="str"/>
      <x:c r="E20" s="31" t="str"/>
      <x:c r="F20" s="31" t="str"/>
      <x:c r="G20" s="31" t="str"/>
      <x:c r="H20" s="31" t="str"/>
    </x:row>
    <x:row r="21" ht="36" customHeight="1">
      <x:c r="A21" s="33" t="str">
        <x:v>Scope</x:v>
      </x:c>
      <x:c r="B21" s="31" t="str">
        <x:v>Web interface testing/fixes are intentionally deferred by user request.</x:v>
      </x:c>
      <x:c r="C21" s="31" t="str"/>
      <x:c r="D21" s="31" t="str"/>
      <x:c r="E21" s="31" t="str"/>
      <x:c r="F21" s="31" t="str"/>
      <x:c r="G21" s="31" t="str"/>
      <x:c r="H21" s="31" t="str"/>
    </x:row>
  </x:sheetData>
  <x:mergeCells>
    <x:mergeCell ref="A1:H1"/>
    <x:mergeCell ref="A2:H2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5600004196167" hidden="0" customWidth="1"/>
    <x:col min="2" max="2" width="11.670000076293945" hidden="0" customWidth="1"/>
    <x:col min="3" max="3" width="16.110000610351562" hidden="0" customWidth="1"/>
    <x:col min="4" max="4" width="34.439998626708984" hidden="0" customWidth="1"/>
    <x:col min="5" max="5" width="48.33000183105469" hidden="0" customWidth="1"/>
    <x:col min="6" max="6" width="33.33000183105469" hidden="0" customWidth="1"/>
    <x:col min="7" max="7" width="31.670000076293945" hidden="0" customWidth="1"/>
    <x:col min="8" max="8" width="7.78000020980835" hidden="0" customWidth="1"/>
    <x:col min="9" max="9" width="12.779999732971191" hidden="0" customWidth="1"/>
    <x:col min="10" max="10" width="15" hidden="0" customWidth="1"/>
    <x:col min="11" max="11" width="36.66999816894531" hidden="0" customWidth="1"/>
    <x:col min="12" max="12" width="12.220000267028809" hidden="0" customWidth="1"/>
    <x:col min="13" max="13" width="12.779999732971191" hidden="0" customWidth="1"/>
  </x:cols>
  <x:sheetData>
    <x:row r="1" ht="25.5" customHeight="1">
      <x:c r="A1" s="3" t="str">
        <x:v>ID</x:v>
      </x:c>
      <x:c r="B1" s="3" t="str">
        <x:v>Surface</x:v>
      </x:c>
      <x:c r="C1" s="3" t="str">
        <x:v>Area</x:v>
      </x:c>
      <x:c r="D1" s="3" t="str">
        <x:v>User Story</x:v>
      </x:c>
      <x:c r="E1" s="3" t="str">
        <x:v>Expected Behaviour</x:v>
      </x:c>
      <x:c r="F1" s="3" t="str">
        <x:v>Code Evidence</x:v>
      </x:c>
      <x:c r="G1" s="3" t="str">
        <x:v>Test Evidence</x:v>
      </x:c>
      <x:c r="H1" s="3" t="str">
        <x:v>Priority</x:v>
      </x:c>
      <x:c r="I1" s="3" t="str">
        <x:v>Feature Status</x:v>
      </x:c>
      <x:c r="J1" s="3" t="str">
        <x:v>Test Status</x:v>
      </x:c>
      <x:c r="K1" s="3" t="str">
        <x:v>Errors / Observations</x:v>
      </x:c>
      <x:c r="L1" s="3" t="str">
        <x:v>Fix Status</x:v>
      </x:c>
      <x:c r="M1" s="3" t="str">
        <x:v>Retest Status</x:v>
      </x:c>
    </x:row>
    <x:row r="2" ht="64.5" customHeight="1">
      <x:c r="A2" s="8" t="str">
        <x:v>IOS-INK-001</x:v>
      </x:c>
      <x:c r="B2" s="8" t="str">
        <x:v>iOS Ink</x:v>
      </x:c>
      <x:c r="C2" s="8" t="str">
        <x:v>Launch and Auth Routing</x:v>
      </x:c>
      <x:c r="D2" s="8" t="str">
        <x:v>As a signed-out iOS user, I land on the ink welcome/auth flow; as a signed-in complete-profile user, I land in the ink trips shell.</x:v>
      </x:c>
      <x:c r="E2" s="8" t="str">
        <x:v>Root restores auth, resets/uses volatile sessions from launch args, routes signed-out users to welcome/auth, incomplete users to profile completion, and complete users to the ink app shell.</x:v>
      </x:c>
      <x:c r="F2" s="8" t="str">
        <x:v>apps/ios/BillBanditApp/Sources/BillBanditApp.swift; apps/ios/BillBanditApp/Sources/AuthStore.swift</x:v>
      </x:c>
      <x:c r="G2" s="8" t="str">
        <x:v>testAppLaunches; testMockAppleAuthCompletesProfileAndReachesTrips; testRailwayOTPAuthSignsIntoReceiptTrips</x:v>
      </x:c>
      <x:c r="H2" s="8" t="str">
        <x:v>P0</x:v>
      </x:c>
      <x:c r="I2" s="8" t="str">
        <x:v>Implemented</x:v>
      </x:c>
      <x:c r="J2" s="8" t="str">
        <x:v>Tested pass</x:v>
      </x:c>
      <x:c r="K2" s="8" t="str"/>
      <x:c r="L2" s="8" t="str">
        <x:v>N/A</x:v>
      </x:c>
      <x:c r="M2" s="8" t="str">
        <x:v>Passed</x:v>
      </x:c>
    </x:row>
    <x:row r="3" ht="64.5" customHeight="1">
      <x:c r="A3" s="9" t="str">
        <x:v>IOS-INK-002</x:v>
      </x:c>
      <x:c r="B3" s="9" t="str">
        <x:v>iOS Ink</x:v>
      </x:c>
      <x:c r="C3" s="9" t="str">
        <x:v>Welcome</x:v>
      </x:c>
      <x:c r="D3" s="9" t="str">
        <x:v>As a new or returning user, I can start login from the blue/cream ink welcome screen.</x:v>
      </x:c>
      <x:c r="E3" s="9" t="str">
        <x:v>Welcome exposes the login CTA; tapping it enters the configured auth destination rather than mutating local data directly when auth callbacks are supplied.</x:v>
      </x:c>
      <x:c r="F3" s="9" t="str">
        <x:v>apps/ios/BillBanditApp/Sources/BillBanditInkPrototypeView.swift; apps/ios/BillBanditApp/Sources/BillBanditApp.swift</x:v>
      </x:c>
      <x:c r="G3" s="9" t="str">
        <x:v>testMockAppleAuthCompletesProfileAndReachesTrips; testRailwayOTPAuthSignsIntoReceiptTrips</x:v>
      </x:c>
      <x:c r="H3" s="9" t="str">
        <x:v>P0</x:v>
      </x:c>
      <x:c r="I3" s="9" t="str">
        <x:v>Implemented</x:v>
      </x:c>
      <x:c r="J3" s="9" t="str">
        <x:v>Tested pass</x:v>
      </x:c>
      <x:c r="K3" s="9" t="str"/>
      <x:c r="L3" s="9" t="str">
        <x:v>N/A</x:v>
      </x:c>
      <x:c r="M3" s="9" t="str">
        <x:v>Passed</x:v>
      </x:c>
    </x:row>
    <x:row r="4" ht="64.5" customHeight="1">
      <x:c r="A4" s="9" t="str">
        <x:v>IOS-INK-003</x:v>
      </x:c>
      <x:c r="B4" s="9" t="str">
        <x:v>iOS Ink Auth</x:v>
      </x:c>
      <x:c r="C4" s="9" t="str">
        <x:v>OTP Start</x:v>
      </x:c>
      <x:c r="D4" s="9" t="str">
        <x:v>As an iOS user, I can enter a phone or email identifier and request an OTP from Railway.</x:v>
      </x:c>
      <x:c r="E4" s="9" t="str">
        <x:v>Auth start trims the identifier, calls /api/mobile/auth/otp/start, stores the challenge, and advances to OTP verification only on success.</x:v>
      </x:c>
      <x:c r="F4" s="9" t="str">
        <x:v>apps/ios/BillBanditApp/Sources/InkAuthFlowView.swift; apps/ios/BillBanditApp/Sources/AuthStore.swift</x:v>
      </x:c>
      <x:c r="G4" s="9" t="str">
        <x:v>testRailwayOTPAuthSignsIntoReceiptTrips against https://billbandit-api.contenthelper.in</x:v>
      </x:c>
      <x:c r="H4" s="9" t="str">
        <x:v>P0</x:v>
      </x:c>
      <x:c r="I4" s="9" t="str">
        <x:v>Implemented</x:v>
      </x:c>
      <x:c r="J4" s="9" t="str">
        <x:v>Tested pass</x:v>
      </x:c>
      <x:c r="K4" s="9" t="str"/>
      <x:c r="L4" s="9" t="str">
        <x:v>N/A</x:v>
      </x:c>
      <x:c r="M4" s="9" t="str">
        <x:v>Passed</x:v>
      </x:c>
    </x:row>
    <x:row r="5" ht="64.5" customHeight="1">
      <x:c r="A5" s="9" t="str">
        <x:v>IOS-INK-004</x:v>
      </x:c>
      <x:c r="B5" s="9" t="str">
        <x:v>iOS Ink Auth</x:v>
      </x:c>
      <x:c r="C5" s="9" t="str">
        <x:v>OTP Verify</x:v>
      </x:c>
      <x:c r="D5" s="9" t="str">
        <x:v>As an iOS user, I can enter a 6-digit OTP and sign in to the Railway-backed account.</x:v>
      </x:c>
      <x:c r="E5" s="9" t="str">
        <x:v>OTP code input filters to six digits; submit calls /api/mobile/auth/otp/verify, applies token/user, clears the challenge, and routes by profile completion.</x:v>
      </x:c>
      <x:c r="F5" s="9" t="str">
        <x:v>apps/ios/BillBanditApp/Sources/InkAuthFlowView.swift; apps/ios/BillBanditApp/Sources/AuthStore.swift</x:v>
      </x:c>
      <x:c r="G5" s="9" t="str">
        <x:v>testRailwayOTPAuthSignsIntoReceiptTrips passed with API_BASE_URL=https://billbandit-api.contenthelper.in</x:v>
      </x:c>
      <x:c r="H5" s="9" t="str">
        <x:v>P0</x:v>
      </x:c>
      <x:c r="I5" s="9" t="str">
        <x:v>Implemented</x:v>
      </x:c>
      <x:c r="J5" s="9" t="str">
        <x:v>Tested pass</x:v>
      </x:c>
      <x:c r="K5" s="9" t="str">
        <x:v>The first live assertion only accepted empty-state copy; real Railway data can land on a non-empty trips list.</x:v>
      </x:c>
      <x:c r="L5" s="9" t="str">
        <x:v>Fixed</x:v>
      </x:c>
      <x:c r="M5" s="9" t="str">
        <x:v>Passed</x:v>
      </x:c>
    </x:row>
    <x:row r="6" ht="64.5" customHeight="1">
      <x:c r="A6" s="9" t="str">
        <x:v>IOS-INK-005</x:v>
      </x:c>
      <x:c r="B6" s="9" t="str">
        <x:v>iOS Ink Auth</x:v>
      </x:c>
      <x:c r="C6" s="9" t="str">
        <x:v>Apple Sign-In and Profile Completion</x:v>
      </x:c>
      <x:c r="D6" s="9" t="str">
        <x:v>As an iOS user, I can use Apple sign-in and complete required profile fields before entering the app.</x:v>
      </x:c>
      <x:c r="E6" s="9" t="str">
        <x:v>Mock/system Apple modes are supported; profile completion requires name and UPI ID, saves via AuthStore, then enters trips.</x:v>
      </x:c>
      <x:c r="F6" s="9" t="str">
        <x:v>apps/ios/BillBanditApp/Sources/BillBanditApp.swift; apps/ios/BillBanditApp/Sources/InkAuthFlowView.swift</x:v>
      </x:c>
      <x:c r="G6" s="9" t="str">
        <x:v>testMockAppleAuthCompletesProfileAndReachesTrips; testProfileCompletionRequiresUPI</x:v>
      </x:c>
      <x:c r="H6" s="9" t="str">
        <x:v>P0</x:v>
      </x:c>
      <x:c r="I6" s="9" t="str">
        <x:v>Implemented</x:v>
      </x:c>
      <x:c r="J6" s="9" t="str">
        <x:v>Tested pass</x:v>
      </x:c>
      <x:c r="K6" s="9" t="str">
        <x:v>XCTest saw duplicate keyboard toolbar Done buttons; helper now taps first resolved match.</x:v>
      </x:c>
      <x:c r="L6" s="9" t="str">
        <x:v>Fixed</x:v>
      </x:c>
      <x:c r="M6" s="9" t="str">
        <x:v>Passed</x:v>
      </x:c>
    </x:row>
    <x:row r="7" ht="64.5" customHeight="1">
      <x:c r="A7" s="9" t="str">
        <x:v>IOS-INK-006</x:v>
      </x:c>
      <x:c r="B7" s="9" t="str">
        <x:v>iOS Ink Trips</x:v>
      </x:c>
      <x:c r="C7" s="9" t="str">
        <x:v>Empty Trips</x:v>
      </x:c>
      <x:c r="D7" s="9" t="str">
        <x:v>As a new ink app user, I see an empty trips state and can start a new trip ledger.</x:v>
      </x:c>
      <x:c r="E7" s="9" t="str">
        <x:v>TripsEmpty shows No tabs running, mascot art, bottom tabs, top-right add, and Start a trip CTA.</x:v>
      </x:c>
      <x:c r="F7" s="9" t="str">
        <x:v>apps/ios/BillBanditApp/Sources/BillBanditInkPrototypeView.swift</x:v>
      </x:c>
      <x:c r="G7" s="9" t="str">
        <x:v>testMockAppleAuthCompletesProfileAndReachesTrips; testPrototypeLedgerCanAddEditAndDeleteExpense</x:v>
      </x:c>
      <x:c r="H7" s="9" t="str">
        <x:v>P0</x:v>
      </x:c>
      <x:c r="I7" s="9" t="str">
        <x:v>Implemented</x:v>
      </x:c>
      <x:c r="J7" s="9" t="str">
        <x:v>Tested pass</x:v>
      </x:c>
      <x:c r="K7" s="9" t="str"/>
      <x:c r="L7" s="9" t="str">
        <x:v>N/A</x:v>
      </x:c>
      <x:c r="M7" s="9" t="str">
        <x:v>Passed</x:v>
      </x:c>
    </x:row>
    <x:row r="8" ht="64.5" customHeight="1">
      <x:c r="A8" s="9" t="str">
        <x:v>IOS-INK-007</x:v>
      </x:c>
      <x:c r="B8" s="9" t="str">
        <x:v>iOS Ink Trips</x:v>
      </x:c>
      <x:c r="C8" s="9" t="str">
        <x:v>Live Trips List</x:v>
      </x:c>
      <x:c r="D8" s="9" t="str">
        <x:v>As a signed-in Railway user with existing groups, I can land on a non-empty trips list.</x:v>
      </x:c>
      <x:c r="E8" s="9" t="str">
        <x:v>YourTrips renders TripCard rows for remote groups, including title, dates, member/entry counts, open/final stamp, total, and net balance.</x:v>
      </x:c>
      <x:c r="F8" s="9" t="str">
        <x:v>apps/ios/BillBanditApp/Sources/BillBanditInkPrototypeView.swift</x:v>
      </x:c>
      <x:c r="G8" s="9" t="str">
        <x:v>testRailwayOTPAuthSignsIntoReceiptTrips now accepts tripCard.* rows from real data</x:v>
      </x:c>
      <x:c r="H8" s="9" t="str">
        <x:v>P0</x:v>
      </x:c>
      <x:c r="I8" s="9" t="str">
        <x:v>Implemented</x:v>
      </x:c>
      <x:c r="J8" s="9" t="str">
        <x:v>Tested pass</x:v>
      </x:c>
      <x:c r="K8" s="9" t="str">
        <x:v>Original test assumed no real data and missed this valid state.</x:v>
      </x:c>
      <x:c r="L8" s="9" t="str">
        <x:v>Fixed</x:v>
      </x:c>
      <x:c r="M8" s="9" t="str">
        <x:v>Passed</x:v>
      </x:c>
    </x:row>
    <x:row r="9" ht="64.5" customHeight="1">
      <x:c r="A9" s="9" t="str">
        <x:v>IOS-INK-008</x:v>
      </x:c>
      <x:c r="B9" s="9" t="str">
        <x:v>iOS Ink Ledger</x:v>
      </x:c>
      <x:c r="C9" s="9" t="str">
        <x:v>Create Railway Ledger</x:v>
      </x:c>
      <x:c r="D9" s="9" t="str">
        <x:v>As a signed-in Railway-backed ink app user, I can create a new ledger from the trips shell.</x:v>
      </x:c>
      <x:c r="E9" s="9" t="str">
        <x:v>NewLedger captures title/date context; in remote mode opening posts /api/mobile/groups, maps the returned group, and routes to the live ledger.</x:v>
      </x:c>
      <x:c r="F9" s="9" t="str">
        <x:v>apps/ios/BillBanditApp/Sources/BillBanditInkPrototypeView.swift</x:v>
      </x:c>
      <x:c r="G9" s="9" t="str">
        <x:v>testRailwayCanCreateEditDeleteAndFinalizeInkLedger against https://billbandit-api.contenthelper.in</x:v>
      </x:c>
      <x:c r="H9" s="9" t="str">
        <x:v>P0</x:v>
      </x:c>
      <x:c r="I9" s="9" t="str">
        <x:v>Implemented</x:v>
      </x:c>
      <x:c r="J9" s="9" t="str">
        <x:v>Tested pass</x:v>
      </x:c>
      <x:c r="K9" s="9" t="str"/>
      <x:c r="L9" s="9" t="str">
        <x:v>N/A</x:v>
      </x:c>
      <x:c r="M9" s="9" t="str">
        <x:v>Passed</x:v>
      </x:c>
    </x:row>
    <x:row r="10" ht="64.5" customHeight="1">
      <x:c r="A10" s="9" t="str">
        <x:v>IOS-INK-009</x:v>
      </x:c>
      <x:c r="B10" s="9" t="str">
        <x:v>iOS Ink Ledger</x:v>
      </x:c>
      <x:c r="C10" s="9" t="str">
        <x:v>Remote Ledger Sync</x:v>
      </x:c>
      <x:c r="D10" s="9" t="str">
        <x:v>As a signed-in ink user, my ledgers load from Railway mobile groups.</x:v>
      </x:c>
      <x:c r="E10" s="9" t="str">
        <x:v>InkTripStore configures with APIClient/current user, reloads /api/mobile/groups, fetches detail, maps groups to trips, and shows loading/error banners.</x:v>
      </x:c>
      <x:c r="F10" s="9" t="str">
        <x:v>apps/ios/BillBanditApp/Sources/BillBanditInkPrototypeView.swift; apps/ios/BillBanditApp/Sources/APIClient.swift</x:v>
      </x:c>
      <x:c r="G10" s="9" t="str">
        <x:v>testRailwayOTPAuthSignsIntoReceiptTrips; testRailwayCanCreateEditDeleteAndFinalizeInkLedger; BillBanditTests.testInkStoreRunsLedgerFlowThroughMobileAPIClient</x:v>
      </x:c>
      <x:c r="H10" s="9" t="str">
        <x:v>P0</x:v>
      </x:c>
      <x:c r="I10" s="9" t="str">
        <x:v>Implemented</x:v>
      </x:c>
      <x:c r="J10" s="9" t="str">
        <x:v>Tested pass</x:v>
      </x:c>
      <x:c r="K10" s="9" t="str"/>
      <x:c r="L10" s="9" t="str">
        <x:v>N/A</x:v>
      </x:c>
      <x:c r="M10" s="9" t="str">
        <x:v>Passed</x:v>
      </x:c>
    </x:row>
    <x:row r="11" ht="64.5" customHeight="1">
      <x:c r="A11" s="9" t="str">
        <x:v>IOS-INK-010</x:v>
      </x:c>
      <x:c r="B11" s="9" t="str">
        <x:v>iOS Ink Members</x:v>
      </x:c>
      <x:c r="C11" s="9" t="str">
        <x:v>Add Friend by Email</x:v>
      </x:c>
      <x:c r="D11" s="9" t="str">
        <x:v>As a remote-backed ink ledger user, I can add a registered member by BillBandit email.</x:v>
      </x:c>
      <x:c r="E11" s="9" t="str">
        <x:v>AddFriend collects email, validates /api/mobile/users/lookup?email=..., submits email to /api/mobile/groups/{id}/members, and shows found/not-found states.</x:v>
      </x:c>
      <x:c r="F11" s="9" t="str">
        <x:v>apps/ios/BillBanditApp/Sources/BillBanditInkPrototypeView.swift; apps/ios/BillBanditApp/Sources/MockBillBanditAPI.swift; apps/web/app/api/mobile/users/lookup/route.ts</x:v>
      </x:c>
      <x:c r="G11" s="9" t="str">
        <x:v>testRailwayCanAddFriendSplitExpenseAndRecordSettlement seeds a registered friend, validates Account found, and adds the friend through iOS UI</x:v>
      </x:c>
      <x:c r="H11" s="9" t="str">
        <x:v>P0</x:v>
      </x:c>
      <x:c r="I11" s="9" t="str">
        <x:v>Fixed</x:v>
      </x:c>
      <x:c r="J11" s="9" t="str">
        <x:v>Tested pass</x:v>
      </x:c>
      <x:c r="K11" s="9" t="str">
        <x:v>Code previously used username lookup/submission against an email-only member route.</x:v>
      </x:c>
      <x:c r="L11" s="9" t="str">
        <x:v>Fixed</x:v>
      </x:c>
      <x:c r="M11" s="9" t="str">
        <x:v>Passed</x:v>
      </x:c>
    </x:row>
    <x:row r="12" ht="64.5" customHeight="1">
      <x:c r="A12" s="9" t="str">
        <x:v>IOS-INK-011</x:v>
      </x:c>
      <x:c r="B12" s="9" t="str">
        <x:v>iOS Ink Ledger</x:v>
      </x:c>
      <x:c r="C12" s="9" t="str">
        <x:v>Live Ledger Empty State</x:v>
      </x:c>
      <x:c r="D12" s="9" t="str">
        <x:v>As a ledger user with no entries, I can see the ledger empty state and add the first entry.</x:v>
      </x:c>
      <x:c r="E12" s="9" t="str">
        <x:v>LiveLedger shows ledger.empty copy when there are no expenses and exposes ledger.addEntry.</x:v>
      </x:c>
      <x:c r="F12" s="9" t="str">
        <x:v>apps/ios/BillBanditApp/Sources/BillBanditInkPrototypeView.swift</x:v>
      </x:c>
      <x:c r="G12" s="9" t="str">
        <x:v>testRailwayCanCreateEditDeleteAndFinalizeInkLedger asserts ledger.empty after live Railway expense deletion</x:v>
      </x:c>
      <x:c r="H12" s="9" t="str">
        <x:v>P0</x:v>
      </x:c>
      <x:c r="I12" s="9" t="str">
        <x:v>Implemented</x:v>
      </x:c>
      <x:c r="J12" s="9" t="str">
        <x:v>Tested pass</x:v>
      </x:c>
      <x:c r="K12" s="9" t="str"/>
      <x:c r="L12" s="9" t="str">
        <x:v>N/A</x:v>
      </x:c>
      <x:c r="M12" s="9" t="str">
        <x:v>Passed</x:v>
      </x:c>
    </x:row>
    <x:row r="13" ht="64.5" customHeight="1">
      <x:c r="A13" s="9" t="str">
        <x:v>IOS-INK-012</x:v>
      </x:c>
      <x:c r="B13" s="9" t="str">
        <x:v>iOS Ink Entries</x:v>
      </x:c>
      <x:c r="C13" s="9" t="str">
        <x:v>Add Entry</x:v>
      </x:c>
      <x:c r="D13" s="9" t="str">
        <x:v>As an ink ledger user, I can add an equal-split expense entry.</x:v>
      </x:c>
      <x:c r="E13" s="9" t="str">
        <x:v>AddEntry requires title, amount &gt; 0, at least one split member, selected payer, computes equal split preview, and saves into the ledger.</x:v>
      </x:c>
      <x:c r="F13" s="9" t="str">
        <x:v>apps/ios/BillBanditApp/Sources/BillBanditInkPrototypeView.swift</x:v>
      </x:c>
      <x:c r="G13" s="9" t="str">
        <x:v>testRailwayCanCreateEditDeleteAndFinalizeInkLedger; testRailwayCanAddFriendSplitExpenseAndRecordSettlement</x:v>
      </x:c>
      <x:c r="H13" s="9" t="str">
        <x:v>P0</x:v>
      </x:c>
      <x:c r="I13" s="9" t="str">
        <x:v>Implemented</x:v>
      </x:c>
      <x:c r="J13" s="9" t="str">
        <x:v>Tested pass</x:v>
      </x:c>
      <x:c r="K13" s="9" t="str"/>
      <x:c r="L13" s="9" t="str">
        <x:v>N/A</x:v>
      </x:c>
      <x:c r="M13" s="9" t="str">
        <x:v>Passed</x:v>
      </x:c>
    </x:row>
    <x:row r="14" ht="64.5" customHeight="1">
      <x:c r="A14" s="9" t="str">
        <x:v>IOS-INK-013</x:v>
      </x:c>
      <x:c r="B14" s="9" t="str">
        <x:v>iOS Ink Entries</x:v>
      </x:c>
      <x:c r="C14" s="9" t="str">
        <x:v>Edit Entry</x:v>
      </x:c>
      <x:c r="D14" s="9" t="str">
        <x:v>As an ink ledger user, I can edit an existing entry and return to the updated ledger row.</x:v>
      </x:c>
      <x:c r="E14" s="9" t="str">
        <x:v>Opening an expense populates AddEntry in edit mode; Update ledger saves changes, clears editing state, and returns to live ledger.</x:v>
      </x:c>
      <x:c r="F14" s="9" t="str">
        <x:v>apps/ios/BillBanditApp/Sources/BillBanditInkPrototypeView.swift</x:v>
      </x:c>
      <x:c r="G14" s="9" t="str">
        <x:v>testRailwayCanCreateEditDeleteAndFinalizeInkLedger edits a live Railway expense and returns to the updated ledger row</x:v>
      </x:c>
      <x:c r="H14" s="9" t="str">
        <x:v>P0</x:v>
      </x:c>
      <x:c r="I14" s="9" t="str">
        <x:v>Fixed</x:v>
      </x:c>
      <x:c r="J14" s="9" t="str">
        <x:v>Tested pass</x:v>
      </x:c>
      <x:c r="K14" s="9" t="str">
        <x:v>Keyboard could leave Update ledger partially off-screen in the UI test path; save/delete now dismiss keyboard and test helper resolves toolbar Done reliably.</x:v>
      </x:c>
      <x:c r="L14" s="9" t="str">
        <x:v>Fixed</x:v>
      </x:c>
      <x:c r="M14" s="9" t="str">
        <x:v>Passed</x:v>
      </x:c>
    </x:row>
    <x:row r="15" ht="64.5" customHeight="1">
      <x:c r="A15" s="9" t="str">
        <x:v>IOS-INK-014</x:v>
      </x:c>
      <x:c r="B15" s="9" t="str">
        <x:v>iOS Ink Entries</x:v>
      </x:c>
      <x:c r="C15" s="9" t="str">
        <x:v>Delete Entry</x:v>
      </x:c>
      <x:c r="D15" s="9" t="str">
        <x:v>As an ink ledger user, I can delete an existing entry and return to the empty ledger state.</x:v>
      </x:c>
      <x:c r="E15" s="9" t="str">
        <x:v>Edit mode exposes Delete entry; deleting clears the row, reloads state, and returns to ledger.empty when no entries remain.</x:v>
      </x:c>
      <x:c r="F15" s="9" t="str">
        <x:v>apps/ios/BillBanditApp/Sources/BillBanditInkPrototypeView.swift</x:v>
      </x:c>
      <x:c r="G15" s="9" t="str">
        <x:v>testRailwayCanCreateEditDeleteAndFinalizeInkLedger deletes a live Railway expense and returns to ledger.empty</x:v>
      </x:c>
      <x:c r="H15" s="9" t="str">
        <x:v>P0</x:v>
      </x:c>
      <x:c r="I15" s="9" t="str">
        <x:v>Implemented</x:v>
      </x:c>
      <x:c r="J15" s="9" t="str">
        <x:v>Tested pass</x:v>
      </x:c>
      <x:c r="K15" s="9" t="str"/>
      <x:c r="L15" s="9" t="str">
        <x:v>N/A</x:v>
      </x:c>
      <x:c r="M15" s="9" t="str">
        <x:v>Passed</x:v>
      </x:c>
    </x:row>
    <x:row r="16" ht="64.5" customHeight="1">
      <x:c r="A16" s="9" t="str">
        <x:v>IOS-INK-015</x:v>
      </x:c>
      <x:c r="B16" s="9" t="str">
        <x:v>iOS Ink Entries</x:v>
      </x:c>
      <x:c r="C16" s="9" t="str">
        <x:v>Split Participants</x:v>
      </x:c>
      <x:c r="D16" s="9" t="str">
        <x:v>As an ink ledger user, I can include/exclude participants while keeping at least one person in the split.</x:v>
      </x:c>
      <x:c r="E16" s="9" t="str">
        <x:v>Split person rows toggle selected state; the last selected participant cannot be removed; per-person equal amount updates from selected count.</x:v>
      </x:c>
      <x:c r="F16" s="9" t="str">
        <x:v>apps/ios/BillBanditApp/Sources/BillBanditInkPrototypeView.swift</x:v>
      </x:c>
      <x:c r="G16" s="9" t="str">
        <x:v>testRailwayCanAddFriendSplitExpenseAndRecordSettlement verifies the seeded Railway friend is selected in the equal split; prototype test covers selected/not-selected toggling</x:v>
      </x:c>
      <x:c r="H16" s="9" t="str">
        <x:v>P1</x:v>
      </x:c>
      <x:c r="I16" s="9" t="str">
        <x:v>Fixed</x:v>
      </x:c>
      <x:c r="J16" s="9" t="str">
        <x:v>Tested pass</x:v>
      </x:c>
      <x:c r="K16" s="9" t="str">
        <x:v>SwiftUI Button row did not toggle reliably while keyboard/ScrollView were active; row now uses custom tap/accessibility action and dismisses keyboard.</x:v>
      </x:c>
      <x:c r="L16" s="9" t="str">
        <x:v>Fixed</x:v>
      </x:c>
      <x:c r="M16" s="9" t="str">
        <x:v>Passed</x:v>
      </x:c>
    </x:row>
    <x:row r="17" ht="64.5" customHeight="1">
      <x:c r="A17" s="9" t="str">
        <x:v>IOS-INK-016</x:v>
      </x:c>
      <x:c r="B17" s="9" t="str">
        <x:v>iOS Ink Settle</x:v>
      </x:c>
      <x:c r="C17" s="9" t="str">
        <x:v>Settle Screen</x:v>
      </x:c>
      <x:c r="D17" s="9" t="str">
        <x:v>As an ink ledger user, I can view simplified settlements for a trip.</x:v>
      </x:c>
      <x:c r="E17" s="9" t="str">
        <x:v>Settle screen reads store.settlements(for:), filters user-relevant settlement actions, supports trip selection, refresh, settings, and record payment sheet.</x:v>
      </x:c>
      <x:c r="F17" s="9" t="str">
        <x:v>apps/ios/BillBanditApp/Sources/BillBanditInkPrototypeView.swift</x:v>
      </x:c>
      <x:c r="G17" s="9" t="str">
        <x:v>testRailwayCanAddFriendSplitExpenseAndRecordSettlement creates a live two-person debt and opens settlementRow.0</x:v>
      </x:c>
      <x:c r="H17" s="9" t="str">
        <x:v>P0</x:v>
      </x:c>
      <x:c r="I17" s="9" t="str">
        <x:v>Implemented</x:v>
      </x:c>
      <x:c r="J17" s="9" t="str">
        <x:v>Tested pass</x:v>
      </x:c>
      <x:c r="K17" s="9" t="str"/>
      <x:c r="L17" s="9" t="str">
        <x:v>N/A</x:v>
      </x:c>
      <x:c r="M17" s="9" t="str">
        <x:v>Passed</x:v>
      </x:c>
    </x:row>
    <x:row r="18" ht="64.5" customHeight="1">
      <x:c r="A18" s="9" t="str">
        <x:v>IOS-INK-017</x:v>
      </x:c>
      <x:c r="B18" s="9" t="str">
        <x:v>iOS Ink Payments</x:v>
      </x:c>
      <x:c r="C18" s="9" t="str">
        <x:v>Record Payment</x:v>
      </x:c>
      <x:c r="D18" s="9" t="str">
        <x:v>As an ink ledger user, I can record a settlement payment involving me.</x:v>
      </x:c>
      <x:c r="E18" s="9" t="str">
        <x:v>RecordPayment modal selects trip/counterparty/direction/method/amount and posts /api/mobile/transactions via InkTripStore.recordSettlement.</x:v>
      </x:c>
      <x:c r="F18" s="9" t="str">
        <x:v>apps/ios/BillBanditApp/Sources/BillBanditInkPrototypeView.swift</x:v>
      </x:c>
      <x:c r="G18" s="9" t="str">
        <x:v>testRailwayCanAddFriendSplitExpenseAndRecordSettlement records the live Railway settlement and clears the payment path</x:v>
      </x:c>
      <x:c r="H18" s="9" t="str">
        <x:v>P0</x:v>
      </x:c>
      <x:c r="I18" s="9" t="str">
        <x:v>Implemented</x:v>
      </x:c>
      <x:c r="J18" s="9" t="str">
        <x:v>Tested pass</x:v>
      </x:c>
      <x:c r="K18" s="9" t="str"/>
      <x:c r="L18" s="9" t="str">
        <x:v>N/A</x:v>
      </x:c>
      <x:c r="M18" s="9" t="str">
        <x:v>Passed</x:v>
      </x:c>
    </x:row>
    <x:row r="19" ht="64.5" customHeight="1">
      <x:c r="A19" s="9" t="str">
        <x:v>IOS-INK-018</x:v>
      </x:c>
      <x:c r="B19" s="9" t="str">
        <x:v>iOS Ink Finalization</x:v>
      </x:c>
      <x:c r="C19" s="9" t="str">
        <x:v>Finalize Ledger and Final Bill</x:v>
      </x:c>
      <x:c r="D19" s="9" t="str">
        <x:v>As a ledger user/admin, I can mark a ledger final and review the final bill.</x:v>
      </x:c>
      <x:c r="E19" s="9" t="str">
        <x:v>Live ledger exposes finalization for open ledgers; store posts /api/mobile/groups/{id}/finalize; FinalBill shows total/summary and routes back to ledger history.</x:v>
      </x:c>
      <x:c r="F19" s="9" t="str">
        <x:v>apps/ios/BillBanditApp/Sources/BillBanditInkPrototypeView.swift; apps/web/app/api/mobile/groups/[id]/finalize/route.ts</x:v>
      </x:c>
      <x:c r="G19" s="9" t="str">
        <x:v>testRailwayCanCreateEditDeleteAndFinalizeInkLedger; testRailwayCanAddFriendSplitExpenseAndRecordSettlement; prototype final-bill launch tests</x:v>
      </x:c>
      <x:c r="H19" s="9" t="str">
        <x:v>P0</x:v>
      </x:c>
      <x:c r="I19" s="9" t="str">
        <x:v>Fixed</x:v>
      </x:c>
      <x:c r="J19" s="9" t="str">
        <x:v>Tested pass</x:v>
      </x:c>
      <x:c r="K19" s="9" t="str">
        <x:v>Direct final-bill launch initially lacked selected trip state; launch-state preselection now covers final bill and ledger routes.</x:v>
      </x:c>
      <x:c r="L19" s="9" t="str">
        <x:v>Fixed</x:v>
      </x:c>
      <x:c r="M19" s="9" t="str">
        <x:v>Passed</x:v>
      </x:c>
    </x:row>
    <x:row r="20" ht="64.5" customHeight="1">
      <x:c r="A20" s="9" t="str">
        <x:v>IOS-INK-019</x:v>
      </x:c>
      <x:c r="B20" s="9" t="str">
        <x:v>iOS Ink Navigation</x:v>
      </x:c>
      <x:c r="C20" s="9" t="str">
        <x:v>Bottom Tabs</x:v>
      </x:c>
      <x:c r="D20" s="9" t="str">
        <x:v>As an ink app user, I can switch between trips/settle/profile where those tabs are visible.</x:v>
      </x:c>
      <x:c r="E20" s="9" t="str">
        <x:v>InkBottomTabs renders visible tab sets per screen and routes through handleTab.</x:v>
      </x:c>
      <x:c r="F20" s="9" t="str">
        <x:v>apps/ios/BillBanditApp/Sources/BillBanditInkPrototypeView.swift</x:v>
      </x:c>
      <x:c r="G20" s="9" t="str">
        <x:v>testPrototypeSettleRecordPaymentAndBottomTabs</x:v>
      </x:c>
      <x:c r="H20" s="9" t="str">
        <x:v>P1</x:v>
      </x:c>
      <x:c r="I20" s="9" t="str">
        <x:v>Fixed</x:v>
      </x:c>
      <x:c r="J20" s="9" t="str">
        <x:v>Tested pass</x:v>
      </x:c>
      <x:c r="K20" s="9" t="str">
        <x:v>Trips screen hid Ledger/Settle tabs and a parent identifier overwrote child tab identifiers; tabs now retain full hit targets and stable identifiers.</x:v>
      </x:c>
      <x:c r="L20" s="9" t="str">
        <x:v>Fixed</x:v>
      </x:c>
      <x:c r="M20" s="9" t="str">
        <x:v>Passed</x:v>
      </x:c>
    </x:row>
    <x:row r="21" ht="64.5" customHeight="1">
      <x:c r="A21" s="9" t="str">
        <x:v>IOS-INK-020</x:v>
      </x:c>
      <x:c r="B21" s="9" t="str">
        <x:v>iOS Ink Profile</x:v>
      </x:c>
      <x:c r="C21" s="9" t="str">
        <x:v>Profile and Logout</x:v>
      </x:c>
      <x:c r="D21" s="9" t="str">
        <x:v>As a signed-in ink app user, I can view account/profile information and sign out.</x:v>
      </x:c>
      <x:c r="E21" s="9" t="str">
        <x:v>Profile tab reads the current user/account state and routes logout through AuthStore.</x:v>
      </x:c>
      <x:c r="F21" s="9" t="str">
        <x:v>apps/ios/BillBanditApp/Sources/BillBanditInkPrototypeView.swift; apps/ios/BillBanditApp/Sources/BillBanditApp.swift</x:v>
      </x:c>
      <x:c r="G21" s="9" t="str">
        <x:v>testRailwayOTPAuthSignsIntoReceiptTrips taps Profile and signs out against Railway-backed auth</x:v>
      </x:c>
      <x:c r="H21" s="9" t="str">
        <x:v>P1</x:v>
      </x:c>
      <x:c r="I21" s="9" t="str">
        <x:v>Fixed</x:v>
      </x:c>
      <x:c r="J21" s="9" t="str">
        <x:v>Tested pass</x:v>
      </x:c>
      <x:c r="K21" s="9" t="str">
        <x:v>Profile tab previously opened the New Member account-creation screen for signed-in users; it now shows account profile and Sign out.</x:v>
      </x:c>
      <x:c r="L21" s="9" t="str">
        <x:v>Fixed</x:v>
      </x:c>
      <x:c r="M21" s="9" t="str">
        <x:v>Passed</x:v>
      </x:c>
    </x:row>
    <x:row r="22" ht="64.5" customHeight="1">
      <x:c r="A22" s="9" t="str">
        <x:v>IOS-INK-021</x:v>
      </x:c>
      <x:c r="B22" s="9" t="str">
        <x:v>iOS Ink QA</x:v>
      </x:c>
      <x:c r="C22" s="9" t="str">
        <x:v>Mock API and Launch Modes</x:v>
      </x:c>
      <x:c r="D22" s="9" t="str">
        <x:v>As maintainers, we can run deterministic local and Railway-backed iOS flows.</x:v>
      </x:c>
      <x:c r="E22" s="9" t="str">
        <x:v>MockBillBanditAPI, --root=prototype, --ink-screen, --volatile-auth-session, --reset-auth-session, and API_BASE_URL build setting support deterministic tests.</x:v>
      </x:c>
      <x:c r="F22" s="9" t="str">
        <x:v>apps/ios/BillBanditApp/Sources/MockBillBanditAPI.swift; apps/ios/BillBanditApp/UITests/BillBanditUITests.swift</x:v>
      </x:c>
      <x:c r="G22" s="9" t="str">
        <x:v>Normal iOS suite passes with Railway UI tests skipped by opt-in guard; opt-in Railway UI suite passes 3/3 against production URL</x:v>
      </x:c>
      <x:c r="H22" s="9" t="str">
        <x:v>P0</x:v>
      </x:c>
      <x:c r="I22" s="9" t="str">
        <x:v>Implemented</x:v>
      </x:c>
      <x:c r="J22" s="9" t="str">
        <x:v>Tested pass</x:v>
      </x:c>
      <x:c r="K22" s="9" t="str"/>
      <x:c r="L22" s="9" t="str">
        <x:v>N/A</x:v>
      </x:c>
      <x:c r="M22" s="9" t="str">
        <x:v>Passed</x:v>
      </x:c>
    </x:row>
    <x:row r="23" ht="64.5" customHeight="1">
      <x:c r="A23" s="10" t="str">
        <x:v>IOS-INK-022</x:v>
      </x:c>
      <x:c r="B23" s="10" t="str">
        <x:v>iOS Native Tabs</x:v>
      </x:c>
      <x:c r="C23" s="10" t="str">
        <x:v>Dashboard/Groups/Group Detail/Expense Editor</x:v>
      </x:c>
      <x:c r="D23" s="10" t="str">
        <x:v>As a user outside the ink shell, I can use the native tab-based dashboard, groups, group detail, add member, expense editor, and settle-up views.</x:v>
      </x:c>
      <x:c r="E23" s="10" t="str">
        <x:v>MainTabView hosts DashboardView, GroupsView, GroupDetailView, ExpenseEditorView, AddMemberView, and SettleUpView against mobile API models.</x:v>
      </x:c>
      <x:c r="F23" s="10" t="str">
        <x:v>apps/ios/BillBanditApp/Sources/DashboardView.swift; GroupsView.swift; GroupDetailView.swift; ExpenseEditorView.swift; SettleUpView.swift</x:v>
      </x:c>
      <x:c r="G23" s="10" t="str">
        <x:v>No focused UI coverage in this pass; user asked to focus on the blue/cream ink build</x:v>
      </x:c>
      <x:c r="H23" s="10" t="str">
        <x:v>P2</x:v>
      </x:c>
      <x:c r="I23" s="10" t="str">
        <x:v>Deferred</x:v>
      </x:c>
      <x:c r="J23" s="10" t="str">
        <x:v>Deferred by scope</x:v>
      </x:c>
      <x:c r="K23" s="10" t="str">
        <x:v>Out of current scope unless user reopens native tab UI testing.</x:v>
      </x:c>
      <x:c r="L23" s="10" t="str">
        <x:v>N/A</x:v>
      </x:c>
      <x:c r="M23" s="10" t="str">
        <x:v>N/A</x:v>
      </x:c>
    </x:row>
  </x:sheetData>
  <x:conditionalFormatting sqref="I2:I23">
    <x:cfRule type="containsText" dxfId="0" priority="1" operator="containsText" text="Fixed"/>
    <x:cfRule type="containsText" dxfId="1" priority="2" operator="containsText" text="Deferred"/>
  </x:conditionalFormatting>
  <x:conditionalFormatting sqref="J2:J23">
    <x:cfRule type="containsText" dxfId="2" priority="3" operator="containsText" text="Needs focused"/>
  </x:conditionalFormatting>
  <x:conditionalFormatting sqref="M2:M23">
    <x:cfRule type="containsText" dxfId="3" priority="4" operator="containsText" text="Passed"/>
    <x:cfRule type="containsText" dxfId="4" priority="5" operator="containsText" text="Pending"/>
  </x:conditionalFormatting>
  <x:dataValidations count="5">
    <x:dataValidation type="list" sqref="H2:H23">
      <x:formula1>"P0,P1,P2,P3"</x:formula1>
    </x:dataValidation>
    <x:dataValidation type="list" sqref="I2:I23">
      <x:formula1>"Implemented,Fixed,Deferred,Needs decision"</x:formula1>
    </x:dataValidation>
    <x:dataValidation type="list" sqref="J2:J23">
      <x:formula1>"Tested pass,Needs focused test,Needs focused UI test,Deferred by scope,Tested fail"</x:formula1>
    </x:dataValidation>
    <x:dataValidation type="list" sqref="L2:L23">
      <x:formula1>"N/A,Fixed,Not started,Deferred,Needs decision"</x:formula1>
    </x:dataValidation>
    <x:dataValidation type="list" sqref="M2:M23">
      <x:formula1>"Passed,Pending,Failed,N/A"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60fac29617413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15.5600004196167" hidden="0" customWidth="1"/>
    <x:col min="3" max="3" width="36.66999816894531" hidden="0" customWidth="1"/>
    <x:col min="4" max="4" width="45.560001373291016" hidden="0" customWidth="1"/>
    <x:col min="5" max="5" width="18.889999389648438" hidden="0" customWidth="1"/>
    <x:col min="6" max="6" width="19.440000534057617" hidden="0" customWidth="1"/>
    <x:col min="7" max="7" width="12.779999732971191" hidden="0" customWidth="1"/>
    <x:col min="8" max="8" width="8.890000343322754" hidden="0" customWidth="1"/>
    <x:col min="9" max="9" width="10" hidden="0" customWidth="1"/>
  </x:cols>
  <x:sheetData>
    <x:row r="1">
      <x:c r="A1" s="13" t="str">
        <x:v>Error ID</x:v>
      </x:c>
      <x:c r="B1" s="13" t="str">
        <x:v>Surface</x:v>
      </x:c>
      <x:c r="C1" s="13" t="str">
        <x:v>Finding</x:v>
      </x:c>
      <x:c r="D1" s="13" t="str">
        <x:v>Resolution / Evidence</x:v>
      </x:c>
      <x:c r="E1" s="13" t="str">
        <x:v>Linked Story</x:v>
      </x:c>
      <x:c r="F1" s="13" t="str">
        <x:v>Discovery</x:v>
      </x:c>
      <x:c r="G1" s="13" t="str">
        <x:v>Fix Status</x:v>
      </x:c>
      <x:c r="H1" s="13" t="str">
        <x:v>Severity</x:v>
      </x:c>
      <x:c r="I1" s="13" t="str">
        <x:v>Retest</x:v>
      </x:c>
    </x:row>
    <x:row r="2" ht="58.5" customHeight="1">
      <x:c r="A2" s="8" t="str">
        <x:v>IOS-ERR-001</x:v>
      </x:c>
      <x:c r="B2" s="8" t="str">
        <x:v>iOS Ink Members</x:v>
      </x:c>
      <x:c r="C2" s="8" t="str">
        <x:v>Remote add friend/member used username while Railway mobile member route requires email.</x:v>
      </x:c>
      <x:c r="D2" s="8" t="str">
        <x:v>Updated AddFriend copy, validation, lookup, store request, MockBillBanditAPI, and unit input to use BillBandit email.</x:v>
      </x:c>
      <x:c r="E2" s="8" t="str">
        <x:v>IOS-INK-010</x:v>
      </x:c>
      <x:c r="F2" s="8" t="str">
        <x:v>Code audit + mobile API contract</x:v>
      </x:c>
      <x:c r="G2" s="8" t="str">
        <x:v>Fixed</x:v>
      </x:c>
      <x:c r="H2" s="8" t="str">
        <x:v>High</x:v>
      </x:c>
      <x:c r="I2" s="8" t="str">
        <x:v>Passed</x:v>
      </x:c>
    </x:row>
    <x:row r="3" ht="58.5" customHeight="1">
      <x:c r="A3" s="9" t="str">
        <x:v>IOS-ERR-002</x:v>
      </x:c>
      <x:c r="B3" s="9" t="str">
        <x:v>iOS Ink Entries</x:v>
      </x:c>
      <x:c r="C3" s="9" t="str">
        <x:v>Editing an expense could leave Update ledger competing with the keyboard/off-screen hit target in UI testing.</x:v>
      </x:c>
      <x:c r="D3" s="9" t="str">
        <x:v>AddEntry save/delete now dismiss keyboard; UI helper taps keyboard.done reliably; focused edit test passed.</x:v>
      </x:c>
      <x:c r="E3" s="9" t="str">
        <x:v>IOS-INK-013</x:v>
      </x:c>
      <x:c r="F3" s="9" t="str">
        <x:v>XCTest failure in testPrototypeLedgerCanAddEditAndDeleteExpense</x:v>
      </x:c>
      <x:c r="G3" s="9" t="str">
        <x:v>Fixed</x:v>
      </x:c>
      <x:c r="H3" s="9" t="str">
        <x:v>High</x:v>
      </x:c>
      <x:c r="I3" s="9" t="str">
        <x:v>Passed</x:v>
      </x:c>
    </x:row>
    <x:row r="4" ht="58.5" customHeight="1">
      <x:c r="A4" s="9" t="str">
        <x:v>IOS-ERR-003</x:v>
      </x:c>
      <x:c r="B4" s="9" t="str">
        <x:v>iOS Ink Auth/Entries</x:v>
      </x:c>
      <x:c r="C4" s="9" t="str">
        <x:v>XCTest could see multiple keyboard.done accessibility matches and fail to tap the keyboard toolbar.</x:v>
      </x:c>
      <x:c r="D4" s="9" t="str">
        <x:v>dismissKeyboardIfNeeded now queries firstMatch by identifier/label and waits for the keyboard to disappear.</x:v>
      </x:c>
      <x:c r="E4" s="9" t="str">
        <x:v>IOS-INK-005; IOS-INK-013</x:v>
      </x:c>
      <x:c r="F4" s="9" t="str">
        <x:v>XCTest failure in testMockAppleAuthCompletesProfileAndReachesTrips</x:v>
      </x:c>
      <x:c r="G4" s="9" t="str">
        <x:v>Fixed</x:v>
      </x:c>
      <x:c r="H4" s="9" t="str">
        <x:v>Medium</x:v>
      </x:c>
      <x:c r="I4" s="9" t="str">
        <x:v>Passed</x:v>
      </x:c>
    </x:row>
    <x:row r="5" ht="58.5" customHeight="1">
      <x:c r="A5" s="9" t="str">
        <x:v>IOS-ERR-004</x:v>
      </x:c>
      <x:c r="B5" s="9" t="str">
        <x:v>iOS Ink Auth</x:v>
      </x:c>
      <x:c r="C5" s="9" t="str">
        <x:v>Railway OTP smoke assumed the post-auth trips screen would always be empty.</x:v>
      </x:c>
      <x:c r="D5" s="9" t="str">
        <x:v>Live test now accepts empty trips, your-expenses copy, no-expenses copy, or tripCard.* rows from real Railway data.</x:v>
      </x:c>
      <x:c r="E5" s="9" t="str">
        <x:v>IOS-INK-004; IOS-INK-007</x:v>
      </x:c>
      <x:c r="F5" s="9" t="str">
        <x:v>XCTest failure in testRailwayOTPAuthSignsIntoReceiptTrips</x:v>
      </x:c>
      <x:c r="G5" s="9" t="str">
        <x:v>Fixed</x:v>
      </x:c>
      <x:c r="H5" s="9" t="str">
        <x:v>Medium</x:v>
      </x:c>
      <x:c r="I5" s="9" t="str">
        <x:v>Passed</x:v>
      </x:c>
    </x:row>
    <x:row r="6" ht="58.5" customHeight="1">
      <x:c r="A6" s="9" t="str">
        <x:v>IOS-ERR-005</x:v>
      </x:c>
      <x:c r="B6" s="9" t="str">
        <x:v>iOS Ink Navigation</x:v>
      </x:c>
      <x:c r="C6" s="9" t="str">
        <x:v>Trips tab did not navigate reliably from Settle, and the parent trips-screen accessibility identifier overwrote child bottom-tab identifiers.</x:v>
      </x:c>
      <x:c r="D6" s="9" t="str">
        <x:v>Expanded bottom-tab hit targets, removed the parent container identifier, restored full tabs on populated Trips, and asserted real trip cards after tab navigation.</x:v>
      </x:c>
      <x:c r="E6" s="9" t="str">
        <x:v>IOS-INK-019</x:v>
      </x:c>
      <x:c r="F6" s="9" t="str">
        <x:v>XCTest failure in testPrototypeSettleRecordPaymentAndBottomTabs</x:v>
      </x:c>
      <x:c r="G6" s="9" t="str">
        <x:v>Fixed</x:v>
      </x:c>
      <x:c r="H6" s="9" t="str">
        <x:v>Medium</x:v>
      </x:c>
      <x:c r="I6" s="9" t="str">
        <x:v>Passed</x:v>
      </x:c>
    </x:row>
    <x:row r="7" ht="58.5" customHeight="1">
      <x:c r="A7" s="9" t="str">
        <x:v>IOS-ERR-006</x:v>
      </x:c>
      <x:c r="B7" s="9" t="str">
        <x:v>iOS Ink Entries</x:v>
      </x:c>
      <x:c r="C7" s="9" t="str">
        <x:v>Split participant rows did not toggle reliably while a text field kept the keyboard active inside a ScrollView.</x:v>
      </x:c>
      <x:c r="D7" s="9" t="str">
        <x:v>Replaced the split row Button with a custom tap/accessibility action row, added stable selected/not-selected accessibility values, and dismisses the keyboard before toggling.</x:v>
      </x:c>
      <x:c r="E7" s="9" t="str">
        <x:v>IOS-INK-015</x:v>
      </x:c>
      <x:c r="F7" s="9" t="str">
        <x:v>Repeated XCTest failure in testPrototypeLedgerCanAddEditAndDeleteExpense</x:v>
      </x:c>
      <x:c r="G7" s="9" t="str">
        <x:v>Fixed</x:v>
      </x:c>
      <x:c r="H7" s="9" t="str">
        <x:v>Medium</x:v>
      </x:c>
      <x:c r="I7" s="9" t="str">
        <x:v>Passed</x:v>
      </x:c>
    </x:row>
    <x:row r="8" ht="58.5" customHeight="1">
      <x:c r="A8" s="9" t="str">
        <x:v>IOS-ERR-007</x:v>
      </x:c>
      <x:c r="B8" s="9" t="str">
        <x:v>iOS Ink Profile</x:v>
      </x:c>
      <x:c r="C8" s="9" t="str">
        <x:v>Profile tab opened the New Member account-creation screen for signed-in users.</x:v>
      </x:c>
      <x:c r="D8" s="9" t="str">
        <x:v>Added ProfileInkScreen with account details and Sign out, wired logout through BillBanditApp, and covered it in the live Railway OTP UI test.</x:v>
      </x:c>
      <x:c r="E8" s="9" t="str">
        <x:v>IOS-INK-020</x:v>
      </x:c>
      <x:c r="F8" s="9" t="str">
        <x:v>Code audit + user story coverage</x:v>
      </x:c>
      <x:c r="G8" s="9" t="str">
        <x:v>Fixed</x:v>
      </x:c>
      <x:c r="H8" s="9" t="str">
        <x:v>High</x:v>
      </x:c>
      <x:c r="I8" s="9" t="str">
        <x:v>Passed</x:v>
      </x:c>
    </x:row>
    <x:row r="9" ht="58.5" customHeight="1">
      <x:c r="A9" s="9" t="str">
        <x:v>IOS-ERR-008</x:v>
      </x:c>
      <x:c r="B9" s="9" t="str">
        <x:v>iOS Ink Final Bill</x:v>
      </x:c>
      <x:c r="C9" s="9" t="str">
        <x:v>Direct final-bill launch did not preselect a trip, making See all unable to return to the ledger.</x:v>
      </x:c>
      <x:c r="D9" s="9" t="str">
        <x:v>Launch-state preselection now includes live ledger, settle, record payment, final bill, and add entry screens.</x:v>
      </x:c>
      <x:c r="E9" s="9" t="str">
        <x:v>IOS-INK-018</x:v>
      </x:c>
      <x:c r="F9" s="9" t="str">
        <x:v>XCTest failure in testPrototypeFinalBillSeeAllReturnsToLedger</x:v>
      </x:c>
      <x:c r="G9" s="9" t="str">
        <x:v>Fixed</x:v>
      </x:c>
      <x:c r="H9" s="9" t="str">
        <x:v>Medium</x:v>
      </x:c>
      <x:c r="I9" s="9" t="str">
        <x:v>Passed</x:v>
      </x:c>
    </x:row>
    <x:row r="10" ht="58.5" customHeight="1">
      <x:c r="A10" s="9" t="str">
        <x:v>IOS-ERR-009</x:v>
      </x:c>
      <x:c r="B10" s="9" t="str">
        <x:v>iOS UI Test Harness</x:v>
      </x:c>
      <x:c r="C10" s="9" t="str">
        <x:v>The first live Railway expense-edit test appended the edited title instead of replacing the existing title.</x:v>
      </x:c>
      <x:c r="D10" s="9" t="str">
        <x:v>Updated replaceText usage so existing expense titles are treated as real content, not placeholders; reran the live Railway ledger CRUD/finalize flow successfully.</x:v>
      </x:c>
      <x:c r="E10" s="9" t="str">
        <x:v>IOS-INK-013</x:v>
      </x:c>
      <x:c r="F10" s="9" t="str">
        <x:v>XCTest failure in testRailwayCanCreateEditDeleteAndFinalizeInkLedger</x:v>
      </x:c>
      <x:c r="G10" s="9" t="str">
        <x:v>Fixed</x:v>
      </x:c>
      <x:c r="H10" s="9" t="str">
        <x:v>Medium</x:v>
      </x:c>
      <x:c r="I10" s="9" t="str">
        <x:v>Passed</x:v>
      </x:c>
    </x:row>
    <x:row r="11" ht="58.5" customHeight="1">
      <x:c r="A11" s="9" t="str">
        <x:v>IOS-ERR-010</x:v>
      </x:c>
      <x:c r="B11" s="9" t="str">
        <x:v>iOS Add Friend Flow</x:v>
      </x:c>
      <x:c r="C11" s="9" t="str">
        <x:v>The live add-friend test assumed only the Add friend button submits, but keyboard Done can submit after Account found and return to the ledger.</x:v>
      </x:c>
      <x:c r="D11" s="9" t="str">
        <x:v>Adjusted the UI test to accept either keyboard submission or explicit save-button submission, then reran the live Railway add-friend/split/settlement/finalize flow successfully.</x:v>
      </x:c>
      <x:c r="E11" s="9" t="str">
        <x:v>IOS-INK-010</x:v>
      </x:c>
      <x:c r="F11" s="9" t="str">
        <x:v>XCTest failure in testRailwayCanAddFriendSplitExpenseAndRecordSettlement</x:v>
      </x:c>
      <x:c r="G11" s="9" t="str">
        <x:v>Fixed</x:v>
      </x:c>
      <x:c r="H11" s="9" t="str">
        <x:v>Low</x:v>
      </x:c>
      <x:c r="I11" s="9" t="str">
        <x:v>Passed</x:v>
      </x:c>
    </x:row>
    <x:row r="12" ht="58.5" customHeight="1">
      <x:c r="A12" s="10" t="str">
        <x:v>WEB-DEF-001</x:v>
      </x:c>
      <x:c r="B12" s="10" t="str">
        <x:v>Web UI</x:v>
      </x:c>
      <x:c r="C12" s="10" t="str">
        <x:v>Dashboard add-expense Playwright failure is deferred by user request.</x:v>
      </x:c>
      <x:c r="D12" s="10" t="str">
        <x:v>Web run had 52 passed, 1 skipped, 1 dashboard add-expense failure; user said to skip web and focus iOS.</x:v>
      </x:c>
      <x:c r="E12" s="10" t="str">
        <x:v>Deferred Web</x:v>
      </x:c>
      <x:c r="F12" s="10" t="str">
        <x:v>Production Playwright run before scope change</x:v>
      </x:c>
      <x:c r="G12" s="10" t="str">
        <x:v>Deferred</x:v>
      </x:c>
      <x:c r="H12" s="10" t="str">
        <x:v>Medium</x:v>
      </x:c>
      <x:c r="I12" s="10" t="str">
        <x:v>N/A</x:v>
      </x:c>
    </x:row>
  </x:sheetData>
  <x:dataValidations count="2">
    <x:dataValidation type="list" sqref="G2:G12">
      <x:formula1>"Fixed,Not started,Deferred,Needs decision,N/A"</x:formula1>
    </x:dataValidation>
    <x:dataValidation type="list" sqref="I2:I12">
      <x:formula1>"Passed,Pending,N/A,Failed"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00b25f76dd47b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18.329999923706055" hidden="0" customWidth="1"/>
    <x:col min="3" max="3" width="68.88999938964844" hidden="0" customWidth="1"/>
    <x:col min="4" max="4" width="10" hidden="0" customWidth="1"/>
    <x:col min="5" max="5" width="43.33000183105469" hidden="0" customWidth="1"/>
  </x:cols>
  <x:sheetData>
    <x:row r="1">
      <x:c r="A1" s="16" t="str">
        <x:v>Date</x:v>
      </x:c>
      <x:c r="B1" s="16" t="str">
        <x:v>Layer</x:v>
      </x:c>
      <x:c r="C1" s="16" t="str">
        <x:v>Command / Probe</x:v>
      </x:c>
      <x:c r="D1" s="16" t="str">
        <x:v>Result</x:v>
      </x:c>
      <x:c r="E1" s="16" t="str">
        <x:v>Notes</x:v>
      </x:c>
    </x:row>
    <x:row r="2" ht="52.5" customHeight="1">
      <x:c r="A2" s="8" t="str">
        <x:v>2026-06-22</x:v>
      </x:c>
      <x:c r="B2" s="8" t="str">
        <x:v>iOS isolated simulator</x:v>
      </x:c>
      <x:c r="C2" s="8" t="str">
        <x:v>Created and booted simulator BillBandit Ink QA - Codex (1CF86119-E6D0-406E-BD00-E18F2C57CACF)</x:v>
      </x:c>
      <x:c r="D2" s="8" t="str">
        <x:v>Passed</x:v>
      </x:c>
      <x:c r="E2" s="8" t="str">
        <x:v>All subsequent iOS test evidence in this workbook uses only this simulator to avoid clashing with other test threads.</x:v>
      </x:c>
    </x:row>
    <x:row r="3" ht="52.5" customHeight="1">
      <x:c r="A3" s="9" t="str">
        <x:v>2026-06-22</x:v>
      </x:c>
      <x:c r="B3" s="9" t="str">
        <x:v>iOS regression</x:v>
      </x:c>
      <x:c r="C3" s="9" t="str">
        <x:v>xcodebuild test -destination id=1CF86119-E6D0-406E-BD00-E18F2C57CACF COMPILER_INDEX_STORE_ENABLE=NO</x:v>
      </x:c>
      <x:c r="D3" s="9" t="str">
        <x:v>Passed</x:v>
      </x:c>
      <x:c r="E3" s="9" t="str">
        <x:v>13 passed, 0 failed, 3 skipped. The skipped tests are the opt-in Railway UI mutation tests.</x:v>
      </x:c>
    </x:row>
    <x:row r="4" ht="52.5" customHeight="1">
      <x:c r="A4" s="9" t="str">
        <x:v>2026-06-22</x:v>
      </x:c>
      <x:c r="B4" s="9" t="str">
        <x:v>Railway iOS live UI suite</x:v>
      </x:c>
      <x:c r="C4" s="9" t="str">
        <x:v>xcodebuild test -destination id=1CF86119-E6D0-406E-BD00-E18F2C57CACF -only-testing:testRailwayOTPAuthSignsIntoReceiptTrips -only-testing:testRailwayCanCreateEditDeleteAndFinalizeInkLedger -only-testing:testRailwayCanAddFriendSplitExpenseAndRecordSettlement API_BASE_URL=https://billbandit-api.contenthelper.in</x:v>
      </x:c>
      <x:c r="D4" s="9" t="str">
        <x:v>Passed</x:v>
      </x:c>
      <x:c r="E4" s="9" t="str">
        <x:v>3 passed, 0 failed against Railway production URL with BILLBANDIT_RUN_RAILWAY_UI_TESTS=1.</x:v>
      </x:c>
    </x:row>
    <x:row r="5" ht="52.5" customHeight="1">
      <x:c r="A5" s="9" t="str">
        <x:v>2026-06-22</x:v>
      </x:c>
      <x:c r="B5" s="9" t="str">
        <x:v>Railway iOS ledger CRUD</x:v>
      </x:c>
      <x:c r="C5" s="9" t="str">
        <x:v>testRailwayCanCreateEditDeleteAndFinalizeInkLedger</x:v>
      </x:c>
      <x:c r="D5" s="9" t="str">
        <x:v>Passed</x:v>
      </x:c>
      <x:c r="E5" s="9" t="str">
        <x:v>Live UI created a Railway ledger, added an expense, edited it, deleted it, saw ledger.empty, marked final, and returned from Final Bill.</x:v>
      </x:c>
    </x:row>
    <x:row r="6" ht="52.5" customHeight="1">
      <x:c r="A6" s="9" t="str">
        <x:v>2026-06-22</x:v>
      </x:c>
      <x:c r="B6" s="9" t="str">
        <x:v>Railway iOS friends/payments</x:v>
      </x:c>
      <x:c r="C6" s="9" t="str">
        <x:v>testRailwayCanAddFriendSplitExpenseAndRecordSettlement</x:v>
      </x:c>
      <x:c r="D6" s="9" t="str">
        <x:v>Passed</x:v>
      </x:c>
      <x:c r="E6" s="9" t="str">
        <x:v>Live UI seeded a registered friend, added that friend by email, created a two-person split, opened settlementRow.0, recorded payment, and finalized.</x:v>
      </x:c>
    </x:row>
    <x:row r="7" ht="52.5" customHeight="1">
      <x:c r="A7" s="9" t="str">
        <x:v>2026-06-22</x:v>
      </x:c>
      <x:c r="B7" s="9" t="str">
        <x:v>Railway QA data cleanup</x:v>
      </x:c>
      <x:c r="C7" s="9" t="str">
        <x:v>Mobile API finalized active Codex QA ledgers left by failed live-test attempts</x:v>
      </x:c>
      <x:c r="D7" s="9" t="str">
        <x:v>Passed</x:v>
      </x:c>
      <x:c r="E7" s="9" t="str">
        <x:v>Finalized Codex QA Settle 1782142034 and Codex QA 1782141468 so QA ledgers are not left active in Railway.</x:v>
      </x:c>
    </x:row>
    <x:row r="8" ht="52.5" customHeight="1">
      <x:c r="A8" s="9" t="str">
        <x:v>2026-06-22</x:v>
      </x:c>
      <x:c r="B8" s="9" t="str">
        <x:v>iOS focused UI</x:v>
      </x:c>
      <x:c r="C8" s="9" t="str">
        <x:v>testPrototypeLedgerCanAddEditAndDeleteExpense</x:v>
      </x:c>
      <x:c r="D8" s="9" t="str">
        <x:v>Passed</x:v>
      </x:c>
      <x:c r="E8" s="9" t="str">
        <x:v>Focused ledger test covers create ledger, add entry, split toggle, edit entry, delete entry, and empty-state return.</x:v>
      </x:c>
    </x:row>
    <x:row r="9" ht="52.5" customHeight="1">
      <x:c r="A9" s="10" t="str">
        <x:v>2026-06-22</x:v>
      </x:c>
      <x:c r="B9" s="10" t="str">
        <x:v>iOS focused UI</x:v>
      </x:c>
      <x:c r="C9" s="10" t="str">
        <x:v>testPrototypeSettleRecordPaymentAndBottomTabs; testPrototypeCanMarkLedgerFinalAndReturnToLedger</x:v>
      </x:c>
      <x:c r="D9" s="10" t="str">
        <x:v>Passed</x:v>
      </x:c>
      <x:c r="E9" s="10" t="str">
        <x:v>Focused tests cover bottom-tab switching, settlement row, record-payment modal, mark-final flow, final-bill See all return.</x:v>
      </x:c>
    </x:row>
  </x:sheetData>
  <x:pageMargins left="0.7" right="0.7" top="0.75" bottom="0.75" header="0.3" footer="0.3"/>
  <x:tableParts count="1">
    <x:tablePart xmlns:r="http://schemas.openxmlformats.org/officeDocument/2006/relationships" r:id="R20b32f76227f4d4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24.440000534057617" hidden="0" customWidth="1"/>
    <x:col min="3" max="3" width="12.220000267028809" hidden="0" customWidth="1"/>
    <x:col min="4" max="4" width="73.33000183105469" hidden="0" customWidth="1"/>
  </x:cols>
  <x:sheetData>
    <x:row r="1">
      <x:c r="A1" s="19" t="str">
        <x:v>Surface</x:v>
      </x:c>
      <x:c r="B1" s="19" t="str">
        <x:v>Feature</x:v>
      </x:c>
      <x:c r="C1" s="19" t="str">
        <x:v>Status</x:v>
      </x:c>
      <x:c r="D1" s="19" t="str">
        <x:v>Reason</x:v>
      </x:c>
    </x:row>
    <x:row r="2" ht="46.5" customHeight="1">
      <x:c r="A2" s="8" t="str">
        <x:v>Web UI</x:v>
      </x:c>
      <x:c r="B2" s="8" t="str">
        <x:v>Dashboard add expense</x:v>
      </x:c>
      <x:c r="C2" s="8" t="str">
        <x:v>Deferred</x:v>
      </x:c>
      <x:c r="D2" s="8" t="str">
        <x:v>The production Playwright run found a dashboard add-expense race/context issue. User explicitly asked to skip the web interface for now.</x:v>
      </x:c>
    </x:row>
    <x:row r="3" ht="46.5" customHeight="1">
      <x:c r="A3" s="10" t="str">
        <x:v>Web UI/API</x:v>
      </x:c>
      <x:c r="B3" s="10" t="str">
        <x:v>Other previously tracked web findings</x:v>
      </x:c>
      <x:c r="C3" s="10" t="str">
        <x:v>Deferred</x:v>
      </x:c>
      <x:c r="D3" s="10" t="str">
        <x:v>Remain documented from prior audit but are not part of the current blue/cream iOS ink pass.</x:v>
      </x:c>
    </x:row>
  </x:sheetData>
  <x:pageMargins left="0.7" right="0.7" top="0.75" bottom="0.75" header="0.3" footer="0.3"/>
  <x:tableParts count="1">
    <x:tablePart xmlns:r="http://schemas.openxmlformats.org/officeDocument/2006/relationships" r:id="R9abd45f20f26426b"/>
  </x:tableParts>
</x:worksheet>
</file>